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AMPS\Desktop\"/>
    </mc:Choice>
  </mc:AlternateContent>
  <xr:revisionPtr revIDLastSave="0" documentId="8_{A4FB6754-DE8D-4E70-8ED0-DB3C444C0210}" xr6:coauthVersionLast="47" xr6:coauthVersionMax="47" xr10:uidLastSave="{00000000-0000-0000-0000-000000000000}"/>
  <bookViews>
    <workbookView xWindow="-120" yWindow="-120" windowWidth="29040" windowHeight="15720" xr2:uid="{6C0D0BC0-146E-4E8D-B426-132DF94E2695}"/>
  </bookViews>
  <sheets>
    <sheet name="Hoja1" sheetId="1" r:id="rId1"/>
  </sheets>
  <definedNames>
    <definedName name="_xlnm.Print_Area" localSheetId="0">Hoja1!$A$1:$K$18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1" i="1" l="1"/>
  <c r="N40" i="1"/>
  <c r="N39" i="1"/>
  <c r="N38" i="1"/>
  <c r="N37" i="1"/>
  <c r="N36" i="1"/>
  <c r="N28" i="1"/>
  <c r="D6" i="1" s="1"/>
  <c r="N33" i="1"/>
  <c r="J9" i="1" s="1"/>
  <c r="J10" i="1" s="1"/>
  <c r="N32" i="1"/>
  <c r="I8" i="1" s="1"/>
  <c r="N31" i="1"/>
  <c r="K4" i="1" s="1"/>
  <c r="N30" i="1"/>
  <c r="N29" i="1"/>
  <c r="C9" i="1" l="1"/>
  <c r="E8" i="1"/>
  <c r="D5" i="1"/>
  <c r="K9" i="1"/>
  <c r="K10" i="1" s="1"/>
  <c r="C4" i="1"/>
  <c r="E6" i="1"/>
  <c r="C10" i="1"/>
  <c r="I5" i="1"/>
  <c r="J7" i="1"/>
  <c r="C7" i="1"/>
  <c r="D9" i="1"/>
  <c r="J5" i="1"/>
  <c r="J8" i="1"/>
  <c r="C5" i="1"/>
  <c r="C6" i="1"/>
  <c r="D7" i="1"/>
  <c r="D10" i="1"/>
  <c r="K5" i="1"/>
  <c r="K7" i="1"/>
  <c r="E7" i="1"/>
  <c r="E9" i="1"/>
  <c r="I6" i="1"/>
  <c r="K8" i="1"/>
  <c r="D4" i="1"/>
  <c r="C8" i="1"/>
  <c r="E10" i="1"/>
  <c r="J6" i="1"/>
  <c r="I9" i="1"/>
  <c r="I10" i="1" s="1"/>
  <c r="E4" i="1"/>
  <c r="D8" i="1"/>
  <c r="I4" i="1"/>
  <c r="K6" i="1"/>
  <c r="E5" i="1"/>
  <c r="J4" i="1"/>
  <c r="I7" i="1"/>
</calcChain>
</file>

<file path=xl/sharedStrings.xml><?xml version="1.0" encoding="utf-8"?>
<sst xmlns="http://schemas.openxmlformats.org/spreadsheetml/2006/main" count="86" uniqueCount="39">
  <si>
    <t>1X1</t>
  </si>
  <si>
    <t>AIRES INST NOVA</t>
  </si>
  <si>
    <t>AIRES SUSTITUCIÓ</t>
  </si>
  <si>
    <t>2X1</t>
  </si>
  <si>
    <t>3X1</t>
  </si>
  <si>
    <t>25+25</t>
  </si>
  <si>
    <t>25+35</t>
  </si>
  <si>
    <t>25+25+35</t>
  </si>
  <si>
    <t>25+25+25</t>
  </si>
  <si>
    <t>GAMA ECO</t>
  </si>
  <si>
    <t>GAMA NORMA</t>
  </si>
  <si>
    <t>GAMA ALTA</t>
  </si>
  <si>
    <t>ECO</t>
  </si>
  <si>
    <t>NORMA</t>
  </si>
  <si>
    <t>ALTA</t>
  </si>
  <si>
    <t>HISENSE, MUNDO CLIMA</t>
  </si>
  <si>
    <t>PANASONIC BZ, MITSUBISHI HR</t>
  </si>
  <si>
    <t>PANASONIC TZ, MITSUBISHI AY, DAIKIN</t>
  </si>
  <si>
    <t>MARGE</t>
  </si>
  <si>
    <t>25 + 25</t>
  </si>
  <si>
    <t>25 + 35</t>
  </si>
  <si>
    <t>25 + 25 +25</t>
  </si>
  <si>
    <t>25 + 25 + 35</t>
  </si>
  <si>
    <t>MA D'OBRA</t>
  </si>
  <si>
    <t>INST NOVA</t>
  </si>
  <si>
    <t>PREU</t>
  </si>
  <si>
    <t>HORES</t>
  </si>
  <si>
    <t>SUSTITUCIO</t>
  </si>
  <si>
    <t>TOTAL</t>
  </si>
  <si>
    <t>MATERIAL</t>
  </si>
  <si>
    <t>Preus amb iva Inclos</t>
  </si>
  <si>
    <t>GAMA ECO (BAIXA) - Hisense, mundo clima</t>
  </si>
  <si>
    <t>GAMA NORMA - Panasonic Basic, Mitsubishi Basic</t>
  </si>
  <si>
    <t>GAMA ALTA - Panasonic Alta, Mitsubishi Alta, Daikin</t>
  </si>
  <si>
    <t>Potencia</t>
  </si>
  <si>
    <t>A on posa Potencia es relatiu a nes m2 de casa.</t>
  </si>
  <si>
    <t xml:space="preserve">Es a dir, una habitació de 15m2 aniriem a una 25, </t>
  </si>
  <si>
    <t>exemple:</t>
  </si>
  <si>
    <t>una sala d'estar de 40m2 aniriem a una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</si>
</sst>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4" xfId="0" applyBorder="1"/>
    <xf numFmtId="0" fontId="0" fillId="0" borderId="0" xfId="0" applyAlignment="1">
      <alignment vertical="center"/>
    </xf>
    <xf numFmtId="9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0" borderId="0" xfId="0" applyAlignment="1">
      <alignment horizontal="left" vertical="top"/>
    </xf>
    <xf numFmtId="0" fontId="0" fillId="2" borderId="0" xfId="0" applyFill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left"/>
    </xf>
    <xf numFmtId="165" fontId="0" fillId="2" borderId="8" xfId="0" applyNumberFormat="1" applyFill="1" applyBorder="1"/>
    <xf numFmtId="165" fontId="0" fillId="2" borderId="4" xfId="0" applyNumberFormat="1" applyFill="1" applyBorder="1"/>
    <xf numFmtId="0" fontId="0" fillId="2" borderId="15" xfId="0" applyFill="1" applyBorder="1" applyAlignment="1">
      <alignment horizontal="left"/>
    </xf>
    <xf numFmtId="165" fontId="0" fillId="2" borderId="9" xfId="0" applyNumberFormat="1" applyFill="1" applyBorder="1"/>
    <xf numFmtId="165" fontId="0" fillId="2" borderId="1" xfId="0" applyNumberFormat="1" applyFill="1" applyBorder="1"/>
    <xf numFmtId="165" fontId="0" fillId="2" borderId="7" xfId="0" applyNumberFormat="1" applyFill="1" applyBorder="1"/>
    <xf numFmtId="0" fontId="0" fillId="2" borderId="16" xfId="0" applyFill="1" applyBorder="1" applyAlignment="1">
      <alignment horizontal="left"/>
    </xf>
    <xf numFmtId="165" fontId="0" fillId="2" borderId="10" xfId="0" applyNumberForma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0" fillId="2" borderId="14" xfId="0" applyFill="1" applyBorder="1"/>
    <xf numFmtId="165" fontId="0" fillId="2" borderId="3" xfId="0" applyNumberFormat="1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EED5-02D7-4F3B-AEA2-78FA32B12C4E}">
  <dimension ref="A1:N41"/>
  <sheetViews>
    <sheetView tabSelected="1" zoomScale="115" zoomScaleNormal="115" workbookViewId="0">
      <selection activeCell="F24" sqref="F24"/>
    </sheetView>
  </sheetViews>
  <sheetFormatPr baseColWidth="10" defaultRowHeight="15" x14ac:dyDescent="0.25"/>
  <cols>
    <col min="2" max="2" width="8.85546875" customWidth="1"/>
    <col min="3" max="3" width="14.85546875" customWidth="1"/>
    <col min="4" max="4" width="16" customWidth="1"/>
    <col min="7" max="7" width="10.42578125" customWidth="1"/>
    <col min="8" max="8" width="10.85546875" customWidth="1"/>
    <col min="10" max="10" width="12.140625" customWidth="1"/>
    <col min="11" max="11" width="14.7109375" customWidth="1"/>
    <col min="12" max="12" width="14.140625" customWidth="1"/>
    <col min="14" max="14" width="12" customWidth="1"/>
  </cols>
  <sheetData>
    <row r="1" spans="1:13" ht="15.75" thickBot="1" x14ac:dyDescent="0.3"/>
    <row r="2" spans="1:13" ht="15.75" thickBot="1" x14ac:dyDescent="0.3">
      <c r="A2" s="11"/>
      <c r="B2" s="11"/>
      <c r="C2" s="41" t="s">
        <v>2</v>
      </c>
      <c r="D2" s="42"/>
      <c r="E2" s="43"/>
      <c r="F2" s="11"/>
      <c r="G2" s="11"/>
      <c r="H2" s="11"/>
      <c r="I2" s="41" t="s">
        <v>1</v>
      </c>
      <c r="J2" s="42"/>
      <c r="K2" s="43"/>
    </row>
    <row r="3" spans="1:13" ht="15.75" thickBot="1" x14ac:dyDescent="0.3">
      <c r="A3" s="11"/>
      <c r="B3" s="12" t="s">
        <v>34</v>
      </c>
      <c r="C3" s="13" t="s">
        <v>12</v>
      </c>
      <c r="D3" s="13" t="s">
        <v>13</v>
      </c>
      <c r="E3" s="13" t="s">
        <v>14</v>
      </c>
      <c r="F3" s="11"/>
      <c r="G3" s="11"/>
      <c r="H3" s="12" t="s">
        <v>34</v>
      </c>
      <c r="I3" s="13" t="s">
        <v>12</v>
      </c>
      <c r="J3" s="13" t="s">
        <v>13</v>
      </c>
      <c r="K3" s="13" t="s">
        <v>14</v>
      </c>
      <c r="M3" s="10"/>
    </row>
    <row r="4" spans="1:13" x14ac:dyDescent="0.25">
      <c r="A4" s="38" t="s">
        <v>0</v>
      </c>
      <c r="B4" s="14">
        <v>25</v>
      </c>
      <c r="C4" s="15">
        <f>(E22/H22+N28+N36)*1.21</f>
        <v>1148.2589743589745</v>
      </c>
      <c r="D4" s="15">
        <f>(E23/H22+N28+N36)*1.21</f>
        <v>1450.7589743589745</v>
      </c>
      <c r="E4" s="15">
        <f>(E24/H22+N28+N36)*1.21</f>
        <v>1854.0923076923079</v>
      </c>
      <c r="F4" s="11"/>
      <c r="G4" s="44" t="s">
        <v>0</v>
      </c>
      <c r="H4" s="14">
        <v>25</v>
      </c>
      <c r="I4" s="15">
        <f>(E22/H22+N31+N39)*1.21</f>
        <v>1711.6846153846154</v>
      </c>
      <c r="J4" s="15">
        <f>(E23/H22+N31+N39)*1.21</f>
        <v>2014.1846153846154</v>
      </c>
      <c r="K4" s="16">
        <f>(E24/H22+N31+N39)*1.21</f>
        <v>2417.5179487179489</v>
      </c>
    </row>
    <row r="5" spans="1:13" ht="15.75" thickBot="1" x14ac:dyDescent="0.3">
      <c r="A5" s="39"/>
      <c r="B5" s="17">
        <v>35</v>
      </c>
      <c r="C5" s="18">
        <f>(F22/H22+N28+N36)*1.21</f>
        <v>1198.6756410256412</v>
      </c>
      <c r="D5" s="18">
        <f>(F23/H22+N36+N28)*1.21</f>
        <v>1547.5589743589742</v>
      </c>
      <c r="E5" s="18">
        <f>(F24/H22+N28+N36)*1.21</f>
        <v>1954.9256410256412</v>
      </c>
      <c r="F5" s="11"/>
      <c r="G5" s="45"/>
      <c r="H5" s="17">
        <v>35</v>
      </c>
      <c r="I5" s="18">
        <f>(F22/H22+N31+N39)*1.21</f>
        <v>1762.1012820512819</v>
      </c>
      <c r="J5" s="19">
        <f>(F23/N22+N31+N39)*1.21</f>
        <v>2110.9846153846156</v>
      </c>
      <c r="K5" s="20">
        <f>(G23/N22+N31+N39)*1.21</f>
        <v>2921.6846153846154</v>
      </c>
    </row>
    <row r="6" spans="1:13" ht="15.75" thickBot="1" x14ac:dyDescent="0.3">
      <c r="A6" s="40"/>
      <c r="B6" s="21">
        <v>50</v>
      </c>
      <c r="C6" s="15">
        <f>(G22/H22+N28+N36)*1.21</f>
        <v>1954.9256410256412</v>
      </c>
      <c r="D6" s="15">
        <f>(G23/H22+N28+N36)*1.21</f>
        <v>2358.2589743589747</v>
      </c>
      <c r="E6" s="15">
        <f>(G24/H22+N28+N36)*1.21</f>
        <v>3265.7589743589742</v>
      </c>
      <c r="F6" s="11"/>
      <c r="G6" s="46"/>
      <c r="H6" s="21">
        <v>50</v>
      </c>
      <c r="I6" s="22">
        <f>(G22/N22+N31+N39)*1.21</f>
        <v>2518.3512820512819</v>
      </c>
      <c r="J6" s="23">
        <f>(G23/H22+N31+N39)*1.21</f>
        <v>2921.6846153846154</v>
      </c>
      <c r="K6" s="24">
        <f>(G24/H22+N31+N39)*1.21</f>
        <v>3829.1846153846154</v>
      </c>
    </row>
    <row r="7" spans="1:13" x14ac:dyDescent="0.25">
      <c r="A7" s="38" t="s">
        <v>3</v>
      </c>
      <c r="B7" s="25" t="s">
        <v>5</v>
      </c>
      <c r="C7" s="15">
        <f>(L22/N22+N29+N37)*1.21</f>
        <v>2418.1384615384618</v>
      </c>
      <c r="D7" s="26">
        <f>(L23/N22+N29+N37)*1.21</f>
        <v>3426.4717948717953</v>
      </c>
      <c r="E7" s="16">
        <f>(L24/N22+N29+N37)*1.21</f>
        <v>4031.4717948717953</v>
      </c>
      <c r="F7" s="11"/>
      <c r="G7" s="44" t="s">
        <v>3</v>
      </c>
      <c r="H7" s="25" t="s">
        <v>5</v>
      </c>
      <c r="I7" s="15">
        <f>(L22/N22+N32+N40)*1.21</f>
        <v>3323.7769230769227</v>
      </c>
      <c r="J7" s="26">
        <f>(L23/N22+N32+N40)*1.21</f>
        <v>4332.1102564102566</v>
      </c>
      <c r="K7" s="16">
        <f>(L24/N22+N32+N40)*1.21</f>
        <v>4937.1102564102566</v>
      </c>
    </row>
    <row r="8" spans="1:13" ht="15.75" thickBot="1" x14ac:dyDescent="0.3">
      <c r="A8" s="40"/>
      <c r="B8" s="27" t="s">
        <v>6</v>
      </c>
      <c r="C8" s="22">
        <f>(M22/N22+N29+N37)*1.21</f>
        <v>2619.8051282051279</v>
      </c>
      <c r="D8" s="23">
        <f>(M23/N22+N29+N37)*1.21</f>
        <v>3728.9717948717953</v>
      </c>
      <c r="E8" s="24">
        <f>(M24/N22+N29+N37)*1.21</f>
        <v>4233.1384615384613</v>
      </c>
      <c r="F8" s="11"/>
      <c r="G8" s="46"/>
      <c r="H8" s="27" t="s">
        <v>6</v>
      </c>
      <c r="I8" s="22">
        <f>(M23/N22+N32+N40)*1.21</f>
        <v>4634.6102564102566</v>
      </c>
      <c r="J8" s="23">
        <f>(M23/N22+N32+N40)*1.21</f>
        <v>4634.6102564102566</v>
      </c>
      <c r="K8" s="24">
        <f>(M24/N22+N32+N40)*1.21</f>
        <v>5138.7769230769236</v>
      </c>
    </row>
    <row r="9" spans="1:13" x14ac:dyDescent="0.25">
      <c r="A9" s="38" t="s">
        <v>4</v>
      </c>
      <c r="B9" s="25" t="s">
        <v>8</v>
      </c>
      <c r="C9" s="15">
        <f>(E29/G29+N30+N38)*1.21</f>
        <v>3667.8512820512824</v>
      </c>
      <c r="D9" s="26">
        <f>(E30/G29+N30+N38)*1.21</f>
        <v>4877.8512820512824</v>
      </c>
      <c r="E9" s="16">
        <f>(E31/G29+N30+N38)*1.21</f>
        <v>6289.5179487179494</v>
      </c>
      <c r="F9" s="11"/>
      <c r="G9" s="44" t="s">
        <v>4</v>
      </c>
      <c r="H9" s="25" t="s">
        <v>8</v>
      </c>
      <c r="I9" s="15">
        <f>(E29/G29+N33+N41)*1.21</f>
        <v>5237.4384615384606</v>
      </c>
      <c r="J9" s="26">
        <f>(E30/G29+N33+N41)*1.21</f>
        <v>6447.4384615384606</v>
      </c>
      <c r="K9" s="16">
        <f>(E31/G29+N41+N33)*1.21</f>
        <v>7859.1051282051276</v>
      </c>
    </row>
    <row r="10" spans="1:13" ht="15.75" thickBot="1" x14ac:dyDescent="0.3">
      <c r="A10" s="40"/>
      <c r="B10" s="27" t="s">
        <v>7</v>
      </c>
      <c r="C10" s="22">
        <f>(F29/G29+N30+N38)*1.21</f>
        <v>3667.8512820512824</v>
      </c>
      <c r="D10" s="23">
        <f>(F30/G29+N30+N38)*1.21</f>
        <v>4877.8512820512824</v>
      </c>
      <c r="E10" s="24">
        <f>(F31/G29+N30+N38)*1.21</f>
        <v>6289.5179487179494</v>
      </c>
      <c r="F10" s="11"/>
      <c r="G10" s="46"/>
      <c r="H10" s="27" t="s">
        <v>7</v>
      </c>
      <c r="I10" s="22">
        <f>I9</f>
        <v>5237.4384615384606</v>
      </c>
      <c r="J10" s="23">
        <f>J9</f>
        <v>6447.4384615384606</v>
      </c>
      <c r="K10" s="24">
        <f>K9</f>
        <v>7859.1051282051276</v>
      </c>
    </row>
    <row r="13" spans="1:13" x14ac:dyDescent="0.25">
      <c r="B13" s="10" t="s">
        <v>30</v>
      </c>
    </row>
    <row r="14" spans="1:13" x14ac:dyDescent="0.25">
      <c r="H14" t="s">
        <v>35</v>
      </c>
    </row>
    <row r="15" spans="1:13" x14ac:dyDescent="0.25">
      <c r="B15" t="s">
        <v>31</v>
      </c>
      <c r="G15" t="s">
        <v>37</v>
      </c>
      <c r="H15" t="s">
        <v>36</v>
      </c>
    </row>
    <row r="16" spans="1:13" x14ac:dyDescent="0.25">
      <c r="B16" t="s">
        <v>32</v>
      </c>
      <c r="G16" t="s">
        <v>37</v>
      </c>
      <c r="H16" t="s">
        <v>38</v>
      </c>
    </row>
    <row r="17" spans="2:14" x14ac:dyDescent="0.25">
      <c r="B17" t="s">
        <v>33</v>
      </c>
    </row>
    <row r="21" spans="2:14" x14ac:dyDescent="0.25">
      <c r="C21" s="35" t="s">
        <v>0</v>
      </c>
      <c r="D21" s="35"/>
      <c r="E21" s="4">
        <v>25</v>
      </c>
      <c r="F21" s="4">
        <v>35</v>
      </c>
      <c r="G21" s="4">
        <v>50</v>
      </c>
      <c r="H21" s="1" t="s">
        <v>18</v>
      </c>
      <c r="J21" s="35" t="s">
        <v>3</v>
      </c>
      <c r="K21" s="35"/>
      <c r="L21" s="4" t="s">
        <v>19</v>
      </c>
      <c r="M21" s="4" t="s">
        <v>20</v>
      </c>
      <c r="N21" s="1" t="s">
        <v>18</v>
      </c>
    </row>
    <row r="22" spans="2:14" ht="39.75" customHeight="1" x14ac:dyDescent="0.25">
      <c r="C22" s="2" t="s">
        <v>9</v>
      </c>
      <c r="D22" s="3" t="s">
        <v>15</v>
      </c>
      <c r="E22" s="8">
        <v>300</v>
      </c>
      <c r="F22" s="8">
        <v>325</v>
      </c>
      <c r="G22" s="8">
        <v>700</v>
      </c>
      <c r="H22" s="28">
        <v>0.6</v>
      </c>
      <c r="J22" s="2" t="s">
        <v>9</v>
      </c>
      <c r="K22" s="3" t="s">
        <v>15</v>
      </c>
      <c r="L22" s="8">
        <v>800</v>
      </c>
      <c r="M22" s="8">
        <v>900</v>
      </c>
      <c r="N22" s="28">
        <v>0.6</v>
      </c>
    </row>
    <row r="23" spans="2:14" ht="45.75" customHeight="1" x14ac:dyDescent="0.25">
      <c r="C23" s="2" t="s">
        <v>10</v>
      </c>
      <c r="D23" s="3" t="s">
        <v>16</v>
      </c>
      <c r="E23" s="8">
        <v>450</v>
      </c>
      <c r="F23" s="8">
        <v>498</v>
      </c>
      <c r="G23" s="8">
        <v>900</v>
      </c>
      <c r="H23" s="28"/>
      <c r="J23" s="2" t="s">
        <v>10</v>
      </c>
      <c r="K23" s="3" t="s">
        <v>16</v>
      </c>
      <c r="L23" s="8">
        <v>1300</v>
      </c>
      <c r="M23" s="8">
        <v>1450</v>
      </c>
      <c r="N23" s="28"/>
    </row>
    <row r="24" spans="2:14" ht="44.25" customHeight="1" x14ac:dyDescent="0.25">
      <c r="C24" s="2" t="s">
        <v>11</v>
      </c>
      <c r="D24" s="3" t="s">
        <v>17</v>
      </c>
      <c r="E24" s="8">
        <v>650</v>
      </c>
      <c r="F24" s="8">
        <v>700</v>
      </c>
      <c r="G24" s="8">
        <v>1350</v>
      </c>
      <c r="H24" s="28"/>
      <c r="J24" s="2" t="s">
        <v>11</v>
      </c>
      <c r="K24" s="3" t="s">
        <v>17</v>
      </c>
      <c r="L24" s="8">
        <v>1600</v>
      </c>
      <c r="M24" s="8">
        <v>1700</v>
      </c>
      <c r="N24" s="28"/>
    </row>
    <row r="25" spans="2:14" x14ac:dyDescent="0.25">
      <c r="C25" s="6"/>
      <c r="D25" s="6"/>
      <c r="E25" s="6"/>
      <c r="F25" s="6"/>
      <c r="G25" s="6"/>
      <c r="H25" s="7"/>
      <c r="J25" s="37"/>
      <c r="K25" s="37"/>
      <c r="L25" s="6"/>
      <c r="M25" s="6"/>
      <c r="N25" s="7"/>
    </row>
    <row r="26" spans="2:14" x14ac:dyDescent="0.25">
      <c r="C26" s="6"/>
      <c r="D26" s="6"/>
      <c r="E26" s="6"/>
      <c r="F26" s="6"/>
      <c r="G26" s="6"/>
      <c r="H26" s="7"/>
      <c r="J26" s="37"/>
      <c r="K26" s="37"/>
      <c r="L26" s="6"/>
      <c r="M26" s="6"/>
      <c r="N26" s="7"/>
    </row>
    <row r="27" spans="2:14" x14ac:dyDescent="0.25">
      <c r="I27" s="1" t="s">
        <v>23</v>
      </c>
      <c r="J27" s="1"/>
      <c r="K27" s="2" t="s">
        <v>26</v>
      </c>
      <c r="L27" s="3" t="s">
        <v>25</v>
      </c>
      <c r="M27" s="1" t="s">
        <v>18</v>
      </c>
      <c r="N27" s="1" t="s">
        <v>28</v>
      </c>
    </row>
    <row r="28" spans="2:14" x14ac:dyDescent="0.25">
      <c r="C28" s="35" t="s">
        <v>4</v>
      </c>
      <c r="D28" s="35"/>
      <c r="E28" s="4" t="s">
        <v>21</v>
      </c>
      <c r="F28" s="4" t="s">
        <v>22</v>
      </c>
      <c r="G28" s="1" t="s">
        <v>18</v>
      </c>
      <c r="H28" s="5"/>
      <c r="I28" s="28" t="s">
        <v>27</v>
      </c>
      <c r="J28" s="1" t="s">
        <v>0</v>
      </c>
      <c r="K28" s="1">
        <v>8</v>
      </c>
      <c r="L28" s="36">
        <v>27</v>
      </c>
      <c r="M28" s="28">
        <v>0.65</v>
      </c>
      <c r="N28" s="9">
        <f>K28*L28/M28</f>
        <v>332.30769230769232</v>
      </c>
    </row>
    <row r="29" spans="2:14" ht="30" x14ac:dyDescent="0.25">
      <c r="C29" s="2" t="s">
        <v>9</v>
      </c>
      <c r="D29" s="3" t="s">
        <v>15</v>
      </c>
      <c r="E29" s="8">
        <v>1300</v>
      </c>
      <c r="F29" s="8">
        <v>1300</v>
      </c>
      <c r="G29" s="28">
        <v>0.6</v>
      </c>
      <c r="I29" s="28"/>
      <c r="J29" s="1" t="s">
        <v>3</v>
      </c>
      <c r="K29" s="1">
        <v>12</v>
      </c>
      <c r="L29" s="36"/>
      <c r="M29" s="28"/>
      <c r="N29" s="9">
        <f>K29*L28/M28</f>
        <v>498.46153846153845</v>
      </c>
    </row>
    <row r="30" spans="2:14" ht="30" x14ac:dyDescent="0.25">
      <c r="C30" s="2" t="s">
        <v>10</v>
      </c>
      <c r="D30" s="3" t="s">
        <v>16</v>
      </c>
      <c r="E30" s="8">
        <v>1900</v>
      </c>
      <c r="F30" s="8">
        <v>1900</v>
      </c>
      <c r="G30" s="28"/>
      <c r="I30" s="28"/>
      <c r="J30" s="1" t="s">
        <v>4</v>
      </c>
      <c r="K30" s="1">
        <v>16</v>
      </c>
      <c r="L30" s="36"/>
      <c r="M30" s="28"/>
      <c r="N30" s="9">
        <f>K30*L28/M28</f>
        <v>664.61538461538464</v>
      </c>
    </row>
    <row r="31" spans="2:14" ht="45" x14ac:dyDescent="0.25">
      <c r="C31" s="2" t="s">
        <v>11</v>
      </c>
      <c r="D31" s="3" t="s">
        <v>17</v>
      </c>
      <c r="E31" s="8">
        <v>2600</v>
      </c>
      <c r="F31" s="8">
        <v>2600</v>
      </c>
      <c r="G31" s="28"/>
      <c r="I31" s="28" t="s">
        <v>24</v>
      </c>
      <c r="J31" s="1" t="s">
        <v>0</v>
      </c>
      <c r="K31" s="1">
        <v>16</v>
      </c>
      <c r="L31" s="36"/>
      <c r="M31" s="28"/>
      <c r="N31" s="9">
        <f>K31*L28/M28</f>
        <v>664.61538461538464</v>
      </c>
    </row>
    <row r="32" spans="2:14" x14ac:dyDescent="0.25">
      <c r="I32" s="28"/>
      <c r="J32" s="1" t="s">
        <v>3</v>
      </c>
      <c r="K32" s="1">
        <v>24</v>
      </c>
      <c r="L32" s="36"/>
      <c r="M32" s="28"/>
      <c r="N32" s="9">
        <f>K32*L28/M28</f>
        <v>996.92307692307691</v>
      </c>
    </row>
    <row r="33" spans="9:14" x14ac:dyDescent="0.25">
      <c r="I33" s="28"/>
      <c r="J33" s="1" t="s">
        <v>4</v>
      </c>
      <c r="K33" s="1">
        <v>38</v>
      </c>
      <c r="L33" s="36"/>
      <c r="M33" s="28"/>
      <c r="N33" s="9">
        <f>K33*L28/M28</f>
        <v>1578.4615384615383</v>
      </c>
    </row>
    <row r="35" spans="9:14" x14ac:dyDescent="0.25">
      <c r="I35" s="29" t="s">
        <v>29</v>
      </c>
      <c r="J35" s="30"/>
      <c r="K35" s="33" t="s">
        <v>25</v>
      </c>
      <c r="L35" s="34"/>
      <c r="M35" s="1" t="s">
        <v>18</v>
      </c>
      <c r="N35" s="1" t="s">
        <v>28</v>
      </c>
    </row>
    <row r="36" spans="9:14" x14ac:dyDescent="0.25">
      <c r="I36" s="28" t="s">
        <v>27</v>
      </c>
      <c r="J36" s="1" t="s">
        <v>0</v>
      </c>
      <c r="K36" s="31">
        <v>70</v>
      </c>
      <c r="L36" s="32"/>
      <c r="M36" s="28">
        <v>0.6</v>
      </c>
      <c r="N36" s="9">
        <f>K36/M36</f>
        <v>116.66666666666667</v>
      </c>
    </row>
    <row r="37" spans="9:14" x14ac:dyDescent="0.25">
      <c r="I37" s="28"/>
      <c r="J37" s="1" t="s">
        <v>3</v>
      </c>
      <c r="K37" s="31">
        <v>100</v>
      </c>
      <c r="L37" s="32"/>
      <c r="M37" s="28"/>
      <c r="N37" s="9">
        <f>K37/M36</f>
        <v>166.66666666666669</v>
      </c>
    </row>
    <row r="38" spans="9:14" x14ac:dyDescent="0.25">
      <c r="I38" s="28"/>
      <c r="J38" s="1" t="s">
        <v>4</v>
      </c>
      <c r="K38" s="31">
        <v>120</v>
      </c>
      <c r="L38" s="32"/>
      <c r="M38" s="28"/>
      <c r="N38" s="9">
        <f>K38/M36</f>
        <v>200</v>
      </c>
    </row>
    <row r="39" spans="9:14" x14ac:dyDescent="0.25">
      <c r="I39" s="28" t="s">
        <v>24</v>
      </c>
      <c r="J39" s="1" t="s">
        <v>0</v>
      </c>
      <c r="K39" s="31">
        <v>150</v>
      </c>
      <c r="L39" s="32"/>
      <c r="M39" s="28"/>
      <c r="N39" s="9">
        <f>K39/M36</f>
        <v>250</v>
      </c>
    </row>
    <row r="40" spans="9:14" x14ac:dyDescent="0.25">
      <c r="I40" s="28"/>
      <c r="J40" s="1" t="s">
        <v>3</v>
      </c>
      <c r="K40" s="31">
        <v>250</v>
      </c>
      <c r="L40" s="32"/>
      <c r="M40" s="28"/>
      <c r="N40" s="9">
        <f>K40/M36</f>
        <v>416.66666666666669</v>
      </c>
    </row>
    <row r="41" spans="9:14" x14ac:dyDescent="0.25">
      <c r="I41" s="28"/>
      <c r="J41" s="1" t="s">
        <v>4</v>
      </c>
      <c r="K41" s="31">
        <v>350</v>
      </c>
      <c r="L41" s="32"/>
      <c r="M41" s="28"/>
      <c r="N41" s="9">
        <f>K41/M36</f>
        <v>583.33333333333337</v>
      </c>
    </row>
  </sheetData>
  <mergeCells count="31">
    <mergeCell ref="A4:A6"/>
    <mergeCell ref="A7:A8"/>
    <mergeCell ref="A9:A10"/>
    <mergeCell ref="I2:K2"/>
    <mergeCell ref="G4:G6"/>
    <mergeCell ref="G7:G8"/>
    <mergeCell ref="G9:G10"/>
    <mergeCell ref="C2:E2"/>
    <mergeCell ref="N22:N24"/>
    <mergeCell ref="C21:D21"/>
    <mergeCell ref="J21:K21"/>
    <mergeCell ref="H22:H24"/>
    <mergeCell ref="C28:D28"/>
    <mergeCell ref="I28:I30"/>
    <mergeCell ref="L28:L33"/>
    <mergeCell ref="M28:M33"/>
    <mergeCell ref="J25:K25"/>
    <mergeCell ref="J26:K26"/>
    <mergeCell ref="G29:G31"/>
    <mergeCell ref="I31:I33"/>
    <mergeCell ref="I36:I38"/>
    <mergeCell ref="M36:M41"/>
    <mergeCell ref="I39:I41"/>
    <mergeCell ref="I35:J35"/>
    <mergeCell ref="K41:L41"/>
    <mergeCell ref="K40:L40"/>
    <mergeCell ref="K39:L39"/>
    <mergeCell ref="K38:L38"/>
    <mergeCell ref="K37:L37"/>
    <mergeCell ref="K36:L36"/>
    <mergeCell ref="K35:L3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JR</dc:creator>
  <cp:lastModifiedBy>tcamps</cp:lastModifiedBy>
  <cp:lastPrinted>2026-03-30T15:02:38Z</cp:lastPrinted>
  <dcterms:created xsi:type="dcterms:W3CDTF">2026-03-09T16:25:31Z</dcterms:created>
  <dcterms:modified xsi:type="dcterms:W3CDTF">2026-06-29T10:07:16Z</dcterms:modified>
</cp:coreProperties>
</file>